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_DB_C106\"/>
    </mc:Choice>
  </mc:AlternateContent>
  <xr:revisionPtr revIDLastSave="0" documentId="13_ncr:1_{EA677119-524B-474A-A6F3-92EBC3970635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B15" i="156"/>
  <c r="B13" i="156"/>
  <c r="B11" i="156"/>
  <c r="B9" i="156"/>
  <c r="B7" i="156"/>
  <c r="B5" i="156"/>
  <c r="C18" i="156"/>
  <c r="C17" i="156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<sst xmlns="http://schemas.openxmlformats.org/spreadsheetml/2006/main" count="175" uniqueCount="68">
  <si>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</si>
  <si>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</si>
  <si>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</si>
  <si>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</si>
  <si>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</si>
  <si>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</si>
  <si>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</si>
  <si>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</si>
  <si>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</si>
  <si>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</si>
  <si>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</si>
  <si>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</si>
  <si>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</si>
  <si>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</si>
  <si>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</si>
  <si>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</si>
  <si>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</si>
  <si>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</si>
  <si>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</si>
  <si>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</si>
  <si>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</si>
  <si>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</si>
  <si>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</si>
  <si>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</si>
  <si>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</si>
  <si>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</si>
  <si>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</si>
  <si>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</si>
  <si>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</si>
  <si>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CID2A</t>
  </si>
  <si>
    <t>Max. 9</t>
  </si>
  <si>
    <t>STOP</t>
  </si>
  <si>
    <t>P_DB</t>
  </si>
  <si>
    <t>Introduction du cours + changement des noms dans github et icescrum</t>
  </si>
  <si>
    <t>Remplissage du Journal de travail de la semaine 1 et 2 (journal de travail semaine 1 effacer)</t>
  </si>
  <si>
    <t>SQL</t>
  </si>
  <si>
    <t>SCRUM</t>
  </si>
  <si>
    <t>Création du journal de travail et remplissage</t>
  </si>
  <si>
    <t>Création des tâches + démarrage du sprint 2</t>
  </si>
  <si>
    <t>Recherche d'information</t>
  </si>
  <si>
    <t>Insertion des commandes dans phpMyAdmin pour la requête 1 à 3</t>
  </si>
  <si>
    <t>Introduction du projet + Lecture du Cahier des charges</t>
  </si>
  <si>
    <t>Remplissage du journal de travail</t>
  </si>
  <si>
    <t>Explications du prof concernant les objectifs du projet</t>
  </si>
  <si>
    <t>Insertion des commandes dans phpMyAdmin pour les requête 4 à 10</t>
  </si>
  <si>
    <t>Création du rapport + tables des matières + insertion des requêtes effectuées</t>
  </si>
  <si>
    <t>S 1</t>
  </si>
  <si>
    <t>S 2</t>
  </si>
  <si>
    <t>S 3</t>
  </si>
  <si>
    <t>S 4</t>
  </si>
  <si>
    <t>S 5</t>
  </si>
  <si>
    <t>S 6</t>
  </si>
  <si>
    <t>S 7</t>
  </si>
  <si>
    <t>S 8</t>
  </si>
  <si>
    <t>CONGE</t>
  </si>
  <si>
    <t>insertion des commandes effectués + mise en page du rapport</t>
  </si>
  <si>
    <t>P_OO-Specifications</t>
  </si>
  <si>
    <t>Création des tâches + démarrage du sprint 1</t>
  </si>
  <si>
    <t>iceScrum - P_DB-106-AbiramMuthulingam</t>
  </si>
  <si>
    <t>R-P_DB-MuthulingamAbiram-rapport.docx</t>
  </si>
  <si>
    <t>correction des dates du sprint</t>
  </si>
  <si>
    <t>recherche des commandes pour les requêtes, car certaines rêquetes sont fausse ou incomplètes</t>
  </si>
  <si>
    <t>Vérification des 10 requêtes sql + correction</t>
  </si>
  <si>
    <t>Insertion des commandes et des images efféctuées dans le rapport</t>
  </si>
  <si>
    <t>Explications des requêtes dans le rapport</t>
  </si>
  <si>
    <t>New sprint + tâches du sprint + création de nouvelles tâches</t>
  </si>
  <si>
    <t>Insertion des commandes dans le rapport</t>
  </si>
  <si>
    <t>Gestions des utilisateurs + backup / Restore de la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</si>
</sst>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" fillId="0" borderId="0" xfId="1" applyFill="1" applyAlignment="1" applyProtection="1"/>
    <xf numFmtId="0" fontId="1" fillId="0" borderId="0" xfId="1" applyAlignment="1" applyProtection="1"/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9" borderId="0" xfId="0" applyFill="1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R-P_DB-MuthulingamAbiram-rapport.docx" TargetMode="External"/><Relationship Id="rId13" Type="http://schemas.openxmlformats.org/officeDocument/2006/relationships/vmlDrawing" Target="../drawings/vmlDrawing5.vml"/><Relationship Id="rId3" Type="http://schemas.openxmlformats.org/officeDocument/2006/relationships/hyperlink" Target="https://etml.icescrum.com/p/PDB106AM/" TargetMode="External"/><Relationship Id="rId7" Type="http://schemas.openxmlformats.org/officeDocument/2006/relationships/hyperlink" Target="https://etml.icescrum.com/p/PDB106AM/" TargetMode="External"/><Relationship Id="rId12" Type="http://schemas.openxmlformats.org/officeDocument/2006/relationships/drawing" Target="../drawings/drawing4.xml"/><Relationship Id="rId2" Type="http://schemas.openxmlformats.org/officeDocument/2006/relationships/hyperlink" Target="https://etml.icescrum.com/p/PDB106AM/" TargetMode="External"/><Relationship Id="rId1" Type="http://schemas.openxmlformats.org/officeDocument/2006/relationships/hyperlink" Target="P_OO-Specifications.pdf" TargetMode="External"/><Relationship Id="rId6" Type="http://schemas.openxmlformats.org/officeDocument/2006/relationships/hyperlink" Target="R-P_DB-MuthulingamAbiram-rapport.docx" TargetMode="External"/><Relationship Id="rId11" Type="http://schemas.openxmlformats.org/officeDocument/2006/relationships/printerSettings" Target="../printerSettings/printerSettings4.bin"/><Relationship Id="rId5" Type="http://schemas.openxmlformats.org/officeDocument/2006/relationships/hyperlink" Target="R-P_DB-MuthulingamAbiram-rapport.docx" TargetMode="External"/><Relationship Id="rId15" Type="http://schemas.openxmlformats.org/officeDocument/2006/relationships/image" Target="../media/image7.emf"/><Relationship Id="rId10" Type="http://schemas.openxmlformats.org/officeDocument/2006/relationships/hyperlink" Target="https://etml.icescrum.com/p/PDB106AM/" TargetMode="External"/><Relationship Id="rId4" Type="http://schemas.openxmlformats.org/officeDocument/2006/relationships/hyperlink" Target="R-P_DB-MuthulingamAbiram-rapport.docx" TargetMode="External"/><Relationship Id="rId9" Type="http://schemas.openxmlformats.org/officeDocument/2006/relationships/hyperlink" Target="R-P_DB-MuthulingamAbiram-rapport.docx" TargetMode="External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32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3" t="s">
        <v>19</v>
      </c>
      <c r="C19" s="12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39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79751-7C77-41DA-8A8C-FDFF0ECE86FC}">
  <sheetPr codeName="Feuil7"/>
  <dimension ref="A1:BW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3" customWidth="1"/>
    <col min="2" max="2" width="51.28515625" style="93" customWidth="1"/>
    <col min="3" max="3" width="19.42578125" style="93" customWidth="1"/>
    <col min="4" max="16384" width="1.5703125" style="93"/>
  </cols>
  <sheetData>
    <row r="1" spans="1:75" ht="14.25" thickBot="1" x14ac:dyDescent="0.3">
      <c r="B1" s="94"/>
      <c r="C1" s="94"/>
    </row>
    <row r="2" spans="1:75" ht="42.75" customHeight="1" thickBot="1" x14ac:dyDescent="0.3">
      <c r="A2" s="95"/>
      <c r="B2" s="23" t="s">
        <v>5</v>
      </c>
      <c r="C2" s="15" t="s">
        <v>18</v>
      </c>
      <c r="D2" s="125" t="s">
        <v>46</v>
      </c>
      <c r="E2" s="126"/>
      <c r="F2" s="126"/>
      <c r="G2" s="126"/>
      <c r="H2" s="126"/>
      <c r="I2" s="126"/>
      <c r="J2" s="126"/>
      <c r="K2" s="126"/>
      <c r="L2" s="127"/>
      <c r="M2" s="125" t="s">
        <v>47</v>
      </c>
      <c r="N2" s="126"/>
      <c r="O2" s="126"/>
      <c r="P2" s="126"/>
      <c r="Q2" s="126"/>
      <c r="R2" s="126"/>
      <c r="S2" s="126"/>
      <c r="T2" s="126"/>
      <c r="U2" s="127"/>
      <c r="V2" s="125" t="s">
        <v>48</v>
      </c>
      <c r="W2" s="126"/>
      <c r="X2" s="126"/>
      <c r="Y2" s="126"/>
      <c r="Z2" s="126"/>
      <c r="AA2" s="126"/>
      <c r="AB2" s="126"/>
      <c r="AC2" s="126"/>
      <c r="AD2" s="127"/>
      <c r="AE2" s="125" t="s">
        <v>49</v>
      </c>
      <c r="AF2" s="126"/>
      <c r="AG2" s="126"/>
      <c r="AH2" s="126"/>
      <c r="AI2" s="126"/>
      <c r="AJ2" s="126"/>
      <c r="AK2" s="126"/>
      <c r="AL2" s="126"/>
      <c r="AM2" s="127"/>
      <c r="AN2" s="125" t="s">
        <v>50</v>
      </c>
      <c r="AO2" s="126"/>
      <c r="AP2" s="126"/>
      <c r="AQ2" s="126"/>
      <c r="AR2" s="126"/>
      <c r="AS2" s="126"/>
      <c r="AT2" s="126"/>
      <c r="AU2" s="126"/>
      <c r="AV2" s="127"/>
      <c r="AW2" s="125" t="s">
        <v>51</v>
      </c>
      <c r="AX2" s="126"/>
      <c r="AY2" s="126"/>
      <c r="AZ2" s="126"/>
      <c r="BA2" s="126"/>
      <c r="BB2" s="126"/>
      <c r="BC2" s="126"/>
      <c r="BD2" s="126"/>
      <c r="BE2" s="127"/>
      <c r="BF2" s="125" t="s">
        <v>52</v>
      </c>
      <c r="BG2" s="126"/>
      <c r="BH2" s="126"/>
      <c r="BI2" s="126"/>
      <c r="BJ2" s="126"/>
      <c r="BK2" s="126"/>
      <c r="BL2" s="126"/>
      <c r="BM2" s="126"/>
      <c r="BN2" s="127"/>
      <c r="BO2" s="125" t="s">
        <v>53</v>
      </c>
      <c r="BP2" s="126"/>
      <c r="BQ2" s="126"/>
      <c r="BR2" s="126"/>
      <c r="BS2" s="126"/>
      <c r="BT2" s="126"/>
      <c r="BU2" s="126"/>
      <c r="BV2" s="126"/>
      <c r="BW2" s="127"/>
    </row>
    <row r="3" spans="1:75" ht="19.5" customHeight="1" x14ac:dyDescent="0.25">
      <c r="A3" s="95"/>
      <c r="B3" s="130" t="s">
        <v>21</v>
      </c>
      <c r="C3" s="16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5"/>
      <c r="B4" s="131"/>
      <c r="C4" s="22">
        <v>0</v>
      </c>
      <c r="D4" s="101"/>
      <c r="E4" s="102"/>
      <c r="F4" s="103"/>
      <c r="G4" s="104"/>
      <c r="H4" s="102"/>
      <c r="I4" s="103"/>
      <c r="J4" s="104"/>
      <c r="K4" s="102"/>
      <c r="L4" s="105"/>
      <c r="M4" s="101"/>
      <c r="N4" s="102"/>
      <c r="O4" s="103"/>
      <c r="P4" s="104"/>
      <c r="Q4" s="102"/>
      <c r="R4" s="103"/>
      <c r="S4" s="104"/>
      <c r="T4" s="102"/>
      <c r="U4" s="105"/>
      <c r="V4" s="101"/>
      <c r="W4" s="102"/>
      <c r="X4" s="103"/>
      <c r="Y4" s="104"/>
      <c r="Z4" s="102"/>
      <c r="AA4" s="103"/>
      <c r="AB4" s="104"/>
      <c r="AC4" s="102"/>
      <c r="AD4" s="105"/>
      <c r="AE4" s="101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5"/>
      <c r="AW4" s="101"/>
      <c r="AX4" s="102"/>
      <c r="AY4" s="103"/>
      <c r="AZ4" s="104"/>
      <c r="BA4" s="102"/>
      <c r="BB4" s="103"/>
      <c r="BC4" s="104"/>
      <c r="BD4" s="102"/>
      <c r="BE4" s="105"/>
      <c r="BF4" s="101"/>
      <c r="BG4" s="102"/>
      <c r="BH4" s="103"/>
      <c r="BI4" s="104"/>
      <c r="BJ4" s="102"/>
      <c r="BK4" s="103"/>
      <c r="BL4" s="104"/>
      <c r="BM4" s="102"/>
      <c r="BN4" s="105"/>
      <c r="BO4" s="101"/>
      <c r="BP4" s="102"/>
      <c r="BQ4" s="103"/>
      <c r="BR4" s="104"/>
      <c r="BS4" s="102"/>
      <c r="BT4" s="103"/>
      <c r="BU4" s="104"/>
      <c r="BV4" s="102"/>
      <c r="BW4" s="105"/>
    </row>
    <row r="5" spans="1:75" ht="19.5" customHeight="1" x14ac:dyDescent="0.25">
      <c r="B5" s="132" t="str">
        <f>Donnees!$C$21</f>
        <v>Rapport</v>
      </c>
      <c r="C5" s="106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29"/>
      <c r="C6" s="107">
        <v>4</v>
      </c>
      <c r="D6" s="101"/>
      <c r="E6" s="102"/>
      <c r="F6" s="103"/>
      <c r="G6" s="104"/>
      <c r="H6" s="102"/>
      <c r="I6" s="103"/>
      <c r="J6" s="104"/>
      <c r="K6" s="102"/>
      <c r="L6" s="105"/>
      <c r="M6" s="101"/>
      <c r="N6" s="102"/>
      <c r="O6" s="103"/>
      <c r="P6" s="104"/>
      <c r="Q6" s="102"/>
      <c r="R6" s="103"/>
      <c r="S6" s="118"/>
      <c r="T6" s="116"/>
      <c r="U6" s="119"/>
      <c r="V6" s="101"/>
      <c r="W6" s="102"/>
      <c r="X6" s="103"/>
      <c r="Y6" s="104"/>
      <c r="Z6" s="102"/>
      <c r="AA6" s="103"/>
      <c r="AB6" s="104"/>
      <c r="AC6" s="116"/>
      <c r="AD6" s="105"/>
      <c r="AE6" s="101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5"/>
      <c r="AW6" s="101"/>
      <c r="AX6" s="102"/>
      <c r="AY6" s="103"/>
      <c r="AZ6" s="104"/>
      <c r="BA6" s="102"/>
      <c r="BB6" s="103"/>
      <c r="BC6" s="104"/>
      <c r="BD6" s="102"/>
      <c r="BE6" s="105"/>
      <c r="BF6" s="101"/>
      <c r="BG6" s="102"/>
      <c r="BH6" s="103"/>
      <c r="BI6" s="104"/>
      <c r="BJ6" s="102"/>
      <c r="BK6" s="103"/>
      <c r="BL6" s="104"/>
      <c r="BM6" s="102"/>
      <c r="BN6" s="105"/>
      <c r="BO6" s="101"/>
      <c r="BP6" s="102"/>
      <c r="BQ6" s="103"/>
      <c r="BR6" s="104"/>
      <c r="BS6" s="102"/>
      <c r="BT6" s="103"/>
      <c r="BU6" s="104"/>
      <c r="BV6" s="102"/>
      <c r="BW6" s="105"/>
    </row>
    <row r="7" spans="1:75" ht="19.5" customHeight="1" x14ac:dyDescent="0.25">
      <c r="B7" s="128" t="str">
        <f>Donnees!$C$22</f>
        <v>Journal de travail</v>
      </c>
      <c r="C7" s="106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29"/>
      <c r="C8" s="107">
        <v>4</v>
      </c>
      <c r="D8" s="101"/>
      <c r="E8" s="102"/>
      <c r="F8" s="103"/>
      <c r="G8" s="118"/>
      <c r="H8" s="116"/>
      <c r="I8" s="103"/>
      <c r="J8" s="104"/>
      <c r="K8" s="102"/>
      <c r="L8" s="105"/>
      <c r="M8" s="101"/>
      <c r="N8" s="116"/>
      <c r="O8" s="103"/>
      <c r="P8" s="104"/>
      <c r="Q8" s="102"/>
      <c r="R8" s="103"/>
      <c r="S8" s="104"/>
      <c r="T8" s="102"/>
      <c r="U8" s="105"/>
      <c r="V8" s="115"/>
      <c r="W8" s="102"/>
      <c r="X8" s="103"/>
      <c r="Y8" s="104"/>
      <c r="Z8" s="102"/>
      <c r="AA8" s="103"/>
      <c r="AB8" s="104"/>
      <c r="AC8" s="102"/>
      <c r="AD8" s="105"/>
      <c r="AE8" s="101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5"/>
      <c r="AW8" s="101"/>
      <c r="AX8" s="102"/>
      <c r="AY8" s="103"/>
      <c r="AZ8" s="104"/>
      <c r="BA8" s="102"/>
      <c r="BB8" s="103"/>
      <c r="BC8" s="104"/>
      <c r="BD8" s="102"/>
      <c r="BE8" s="105"/>
      <c r="BF8" s="101"/>
      <c r="BG8" s="102"/>
      <c r="BH8" s="103"/>
      <c r="BI8" s="104"/>
      <c r="BJ8" s="102"/>
      <c r="BK8" s="103"/>
      <c r="BL8" s="104"/>
      <c r="BM8" s="102"/>
      <c r="BN8" s="105"/>
      <c r="BO8" s="101"/>
      <c r="BP8" s="102"/>
      <c r="BQ8" s="103"/>
      <c r="BR8" s="104"/>
      <c r="BS8" s="102"/>
      <c r="BT8" s="103"/>
      <c r="BU8" s="104"/>
      <c r="BV8" s="102"/>
      <c r="BW8" s="105"/>
    </row>
    <row r="9" spans="1:75" ht="19.5" customHeight="1" x14ac:dyDescent="0.25">
      <c r="B9" s="128" t="str">
        <f>Donnees!$C$23</f>
        <v>SQL</v>
      </c>
      <c r="C9" s="106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29"/>
      <c r="C10" s="107">
        <v>7</v>
      </c>
      <c r="D10" s="101"/>
      <c r="E10" s="102"/>
      <c r="F10" s="103"/>
      <c r="G10" s="104"/>
      <c r="H10" s="102"/>
      <c r="I10" s="103"/>
      <c r="J10" s="104"/>
      <c r="K10" s="102"/>
      <c r="L10" s="105"/>
      <c r="M10" s="101"/>
      <c r="N10" s="102"/>
      <c r="O10" s="103"/>
      <c r="P10" s="104"/>
      <c r="Q10" s="116"/>
      <c r="R10" s="117"/>
      <c r="S10" s="104"/>
      <c r="T10" s="102"/>
      <c r="U10" s="105"/>
      <c r="V10" s="101"/>
      <c r="W10" s="116"/>
      <c r="X10" s="117"/>
      <c r="Y10" s="118"/>
      <c r="Z10" s="116"/>
      <c r="AA10" s="117"/>
      <c r="AB10" s="104"/>
      <c r="AC10" s="102"/>
      <c r="AD10" s="105"/>
      <c r="AE10" s="101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5"/>
      <c r="AW10" s="101"/>
      <c r="AX10" s="102"/>
      <c r="AY10" s="103"/>
      <c r="AZ10" s="104"/>
      <c r="BA10" s="102"/>
      <c r="BB10" s="103"/>
      <c r="BC10" s="104"/>
      <c r="BD10" s="102"/>
      <c r="BE10" s="105"/>
      <c r="BF10" s="101"/>
      <c r="BG10" s="102"/>
      <c r="BH10" s="103"/>
      <c r="BI10" s="104"/>
      <c r="BJ10" s="102"/>
      <c r="BK10" s="103"/>
      <c r="BL10" s="104"/>
      <c r="BM10" s="102"/>
      <c r="BN10" s="105"/>
      <c r="BO10" s="101"/>
      <c r="BP10" s="102"/>
      <c r="BQ10" s="103"/>
      <c r="BR10" s="104"/>
      <c r="BS10" s="102"/>
      <c r="BT10" s="103"/>
      <c r="BU10" s="104"/>
      <c r="BV10" s="102"/>
      <c r="BW10" s="105"/>
    </row>
    <row r="11" spans="1:75" ht="19.5" customHeight="1" x14ac:dyDescent="0.25">
      <c r="B11" s="128" t="str">
        <f>Donnees!$C$24</f>
        <v>SCRUM</v>
      </c>
      <c r="C11" s="106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29"/>
      <c r="C12" s="107">
        <v>6</v>
      </c>
      <c r="D12" s="101"/>
      <c r="E12" s="102"/>
      <c r="F12" s="103"/>
      <c r="G12" s="104"/>
      <c r="H12" s="102"/>
      <c r="I12" s="117"/>
      <c r="J12" s="118"/>
      <c r="K12" s="116"/>
      <c r="L12" s="119"/>
      <c r="M12" s="101"/>
      <c r="N12" s="102"/>
      <c r="O12" s="117"/>
      <c r="P12" s="118"/>
      <c r="Q12" s="102"/>
      <c r="R12" s="103"/>
      <c r="S12" s="104"/>
      <c r="T12" s="102"/>
      <c r="U12" s="105"/>
      <c r="V12" s="101"/>
      <c r="W12" s="102"/>
      <c r="X12" s="103"/>
      <c r="Y12" s="104"/>
      <c r="Z12" s="102"/>
      <c r="AA12" s="103"/>
      <c r="AB12" s="104"/>
      <c r="AC12" s="102"/>
      <c r="AD12" s="105"/>
      <c r="AE12" s="101"/>
      <c r="AF12" s="102"/>
      <c r="AG12" s="103"/>
      <c r="AH12" s="104"/>
      <c r="AI12" s="102"/>
      <c r="AJ12" s="103"/>
      <c r="AK12" s="104"/>
      <c r="AL12" s="102"/>
      <c r="AM12" s="105"/>
      <c r="AN12" s="101"/>
      <c r="AO12" s="102"/>
      <c r="AP12" s="103"/>
      <c r="AQ12" s="104"/>
      <c r="AR12" s="102"/>
      <c r="AS12" s="103"/>
      <c r="AT12" s="104"/>
      <c r="AU12" s="102"/>
      <c r="AV12" s="105"/>
      <c r="AW12" s="101"/>
      <c r="AX12" s="102"/>
      <c r="AY12" s="103"/>
      <c r="AZ12" s="104"/>
      <c r="BA12" s="102"/>
      <c r="BB12" s="103"/>
      <c r="BC12" s="104"/>
      <c r="BD12" s="102"/>
      <c r="BE12" s="105"/>
      <c r="BF12" s="101"/>
      <c r="BG12" s="102"/>
      <c r="BH12" s="103"/>
      <c r="BI12" s="104"/>
      <c r="BJ12" s="102"/>
      <c r="BK12" s="103"/>
      <c r="BL12" s="104"/>
      <c r="BM12" s="102"/>
      <c r="BN12" s="105"/>
      <c r="BO12" s="101"/>
      <c r="BP12" s="102"/>
      <c r="BQ12" s="103"/>
      <c r="BR12" s="104"/>
      <c r="BS12" s="102"/>
      <c r="BT12" s="103"/>
      <c r="BU12" s="104"/>
      <c r="BV12" s="102"/>
      <c r="BW12" s="105"/>
    </row>
    <row r="13" spans="1:75" ht="19.5" customHeight="1" x14ac:dyDescent="0.25">
      <c r="B13" s="128" t="str">
        <f>Donnees!$C$25</f>
        <v>Recherche d'information</v>
      </c>
      <c r="C13" s="106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thickBot="1" x14ac:dyDescent="0.3">
      <c r="B14" s="129"/>
      <c r="C14" s="107">
        <v>0</v>
      </c>
      <c r="D14" s="101"/>
      <c r="E14" s="102"/>
      <c r="F14" s="103"/>
      <c r="G14" s="104"/>
      <c r="H14" s="102"/>
      <c r="I14" s="103"/>
      <c r="J14" s="104"/>
      <c r="K14" s="102"/>
      <c r="L14" s="105"/>
      <c r="M14" s="101"/>
      <c r="N14" s="102"/>
      <c r="O14" s="103"/>
      <c r="P14" s="104"/>
      <c r="Q14" s="102"/>
      <c r="R14" s="103"/>
      <c r="S14" s="104"/>
      <c r="T14" s="102"/>
      <c r="U14" s="105"/>
      <c r="V14" s="101"/>
      <c r="W14" s="102"/>
      <c r="X14" s="103"/>
      <c r="Y14" s="104"/>
      <c r="Z14" s="102"/>
      <c r="AA14" s="103"/>
      <c r="AB14" s="104"/>
      <c r="AC14" s="102"/>
      <c r="AD14" s="105"/>
      <c r="AE14" s="101"/>
      <c r="AF14" s="102"/>
      <c r="AG14" s="103"/>
      <c r="AH14" s="104"/>
      <c r="AI14" s="102"/>
      <c r="AJ14" s="103"/>
      <c r="AK14" s="104"/>
      <c r="AL14" s="102"/>
      <c r="AM14" s="105"/>
      <c r="AN14" s="101"/>
      <c r="AO14" s="102"/>
      <c r="AP14" s="103"/>
      <c r="AQ14" s="104"/>
      <c r="AR14" s="102"/>
      <c r="AS14" s="103"/>
      <c r="AT14" s="104"/>
      <c r="AU14" s="102"/>
      <c r="AV14" s="105"/>
      <c r="AW14" s="101"/>
      <c r="AX14" s="102"/>
      <c r="AY14" s="103"/>
      <c r="AZ14" s="104"/>
      <c r="BA14" s="102"/>
      <c r="BB14" s="103"/>
      <c r="BC14" s="104"/>
      <c r="BD14" s="102"/>
      <c r="BE14" s="105"/>
      <c r="BF14" s="101"/>
      <c r="BG14" s="102"/>
      <c r="BH14" s="103"/>
      <c r="BI14" s="104"/>
      <c r="BJ14" s="102"/>
      <c r="BK14" s="103"/>
      <c r="BL14" s="104"/>
      <c r="BM14" s="102"/>
      <c r="BN14" s="105"/>
      <c r="BO14" s="101"/>
      <c r="BP14" s="102"/>
      <c r="BQ14" s="103"/>
      <c r="BR14" s="104"/>
      <c r="BS14" s="102"/>
      <c r="BT14" s="103"/>
      <c r="BU14" s="104"/>
      <c r="BV14" s="102"/>
      <c r="BW14" s="105"/>
    </row>
    <row r="15" spans="1:75" ht="19.5" customHeight="1" x14ac:dyDescent="0.25">
      <c r="B15" s="128" t="str">
        <f>Donnees!$C$26</f>
        <v>Autres</v>
      </c>
      <c r="C15" s="106">
        <v>0</v>
      </c>
      <c r="D15" s="96"/>
      <c r="E15" s="97"/>
      <c r="F15" s="98"/>
      <c r="G15" s="99"/>
      <c r="H15" s="97"/>
      <c r="I15" s="98"/>
      <c r="J15" s="99"/>
      <c r="K15" s="97"/>
      <c r="L15" s="100"/>
      <c r="M15" s="96"/>
      <c r="N15" s="97"/>
      <c r="O15" s="98"/>
      <c r="P15" s="99"/>
      <c r="Q15" s="97"/>
      <c r="R15" s="98"/>
      <c r="S15" s="99"/>
      <c r="T15" s="97"/>
      <c r="U15" s="100"/>
      <c r="V15" s="96"/>
      <c r="W15" s="97"/>
      <c r="X15" s="98"/>
      <c r="Y15" s="99"/>
      <c r="Z15" s="97"/>
      <c r="AA15" s="98"/>
      <c r="AB15" s="99"/>
      <c r="AC15" s="97"/>
      <c r="AD15" s="100"/>
      <c r="AE15" s="96"/>
      <c r="AF15" s="97"/>
      <c r="AG15" s="98"/>
      <c r="AH15" s="99"/>
      <c r="AI15" s="97"/>
      <c r="AJ15" s="98"/>
      <c r="AK15" s="99"/>
      <c r="AL15" s="97"/>
      <c r="AM15" s="100"/>
      <c r="AN15" s="96"/>
      <c r="AO15" s="97"/>
      <c r="AP15" s="98"/>
      <c r="AQ15" s="99"/>
      <c r="AR15" s="97"/>
      <c r="AS15" s="98"/>
      <c r="AT15" s="99"/>
      <c r="AU15" s="97"/>
      <c r="AV15" s="100"/>
      <c r="AW15" s="96"/>
      <c r="AX15" s="97"/>
      <c r="AY15" s="98"/>
      <c r="AZ15" s="99"/>
      <c r="BA15" s="97"/>
      <c r="BB15" s="98"/>
      <c r="BC15" s="99"/>
      <c r="BD15" s="97"/>
      <c r="BE15" s="100"/>
      <c r="BF15" s="96"/>
      <c r="BG15" s="97"/>
      <c r="BH15" s="98"/>
      <c r="BI15" s="99"/>
      <c r="BJ15" s="97"/>
      <c r="BK15" s="98"/>
      <c r="BL15" s="99"/>
      <c r="BM15" s="97"/>
      <c r="BN15" s="100"/>
      <c r="BO15" s="96"/>
      <c r="BP15" s="97"/>
      <c r="BQ15" s="98"/>
      <c r="BR15" s="99"/>
      <c r="BS15" s="97"/>
      <c r="BT15" s="98"/>
      <c r="BU15" s="99"/>
      <c r="BV15" s="97"/>
      <c r="BW15" s="100"/>
    </row>
    <row r="16" spans="1:75" ht="19.5" customHeight="1" x14ac:dyDescent="0.25">
      <c r="A16" s="108"/>
      <c r="B16" s="129"/>
      <c r="C16" s="107">
        <v>5</v>
      </c>
      <c r="D16" s="115"/>
      <c r="E16" s="116"/>
      <c r="F16" s="117"/>
      <c r="G16" s="104"/>
      <c r="H16" s="102"/>
      <c r="I16" s="103"/>
      <c r="J16" s="104"/>
      <c r="K16" s="102"/>
      <c r="L16" s="105"/>
      <c r="M16" s="115"/>
      <c r="N16" s="102"/>
      <c r="O16" s="103"/>
      <c r="P16" s="104"/>
      <c r="Q16" s="102"/>
      <c r="R16" s="103"/>
      <c r="S16" s="104"/>
      <c r="T16" s="102"/>
      <c r="U16" s="105"/>
      <c r="V16" s="101"/>
      <c r="W16" s="102"/>
      <c r="X16" s="103"/>
      <c r="Y16" s="104"/>
      <c r="Z16" s="102"/>
      <c r="AA16" s="103"/>
      <c r="AB16" s="118"/>
      <c r="AC16" s="102"/>
      <c r="AD16" s="105"/>
      <c r="AE16" s="101"/>
      <c r="AF16" s="102"/>
      <c r="AG16" s="103"/>
      <c r="AH16" s="104"/>
      <c r="AI16" s="102"/>
      <c r="AJ16" s="103"/>
      <c r="AK16" s="104"/>
      <c r="AL16" s="102"/>
      <c r="AM16" s="105"/>
      <c r="AN16" s="101"/>
      <c r="AO16" s="102"/>
      <c r="AP16" s="103"/>
      <c r="AQ16" s="104"/>
      <c r="AR16" s="102"/>
      <c r="AS16" s="103"/>
      <c r="AT16" s="104"/>
      <c r="AU16" s="102"/>
      <c r="AV16" s="105"/>
      <c r="AW16" s="101"/>
      <c r="AX16" s="102"/>
      <c r="AY16" s="103"/>
      <c r="AZ16" s="104"/>
      <c r="BA16" s="102"/>
      <c r="BB16" s="103"/>
      <c r="BC16" s="104"/>
      <c r="BD16" s="102"/>
      <c r="BE16" s="105"/>
      <c r="BF16" s="101"/>
      <c r="BG16" s="102"/>
      <c r="BH16" s="103"/>
      <c r="BI16" s="104"/>
      <c r="BJ16" s="102"/>
      <c r="BK16" s="103"/>
      <c r="BL16" s="104"/>
      <c r="BM16" s="102"/>
      <c r="BN16" s="105"/>
      <c r="BO16" s="101"/>
      <c r="BP16" s="102"/>
      <c r="BQ16" s="103"/>
      <c r="BR16" s="104"/>
      <c r="BS16" s="102"/>
      <c r="BT16" s="103"/>
      <c r="BU16" s="104"/>
      <c r="BV16" s="102"/>
      <c r="BW16" s="105"/>
    </row>
    <row r="17" spans="2:75" ht="19.5" customHeight="1" x14ac:dyDescent="0.25">
      <c r="B17" s="25" t="s">
        <v>16</v>
      </c>
      <c r="C17" s="27">
        <f>SUM($C$3,$C$5,$C$7,$C$9,$C$11,$C$13,$C$15)</f>
        <v>0</v>
      </c>
      <c r="D17" s="109"/>
      <c r="E17" s="110"/>
      <c r="F17" s="110"/>
      <c r="G17" s="110"/>
      <c r="H17" s="110"/>
      <c r="I17" s="110"/>
      <c r="J17" s="110"/>
      <c r="K17" s="110"/>
      <c r="L17" s="111"/>
      <c r="M17" s="109"/>
      <c r="N17" s="110"/>
      <c r="O17" s="110"/>
      <c r="P17" s="110"/>
      <c r="Q17" s="110"/>
      <c r="R17" s="110"/>
      <c r="S17" s="110"/>
      <c r="T17" s="110"/>
      <c r="U17" s="111"/>
      <c r="V17" s="109"/>
      <c r="W17" s="110"/>
      <c r="X17" s="110"/>
      <c r="Y17" s="110"/>
      <c r="Z17" s="110"/>
      <c r="AA17" s="110"/>
      <c r="AB17" s="110"/>
      <c r="AC17" s="110"/>
      <c r="AD17" s="111"/>
      <c r="AE17" s="109"/>
      <c r="AF17" s="110"/>
      <c r="AG17" s="110"/>
      <c r="AH17" s="110"/>
      <c r="AI17" s="110"/>
      <c r="AJ17" s="110"/>
      <c r="AK17" s="110"/>
      <c r="AL17" s="110"/>
      <c r="AM17" s="111"/>
      <c r="AN17" s="109"/>
      <c r="AO17" s="110"/>
      <c r="AP17" s="110"/>
      <c r="AQ17" s="110"/>
      <c r="AR17" s="110"/>
      <c r="AS17" s="110"/>
      <c r="AT17" s="110"/>
      <c r="AU17" s="110"/>
      <c r="AV17" s="111"/>
      <c r="AW17" s="109"/>
      <c r="AX17" s="110"/>
      <c r="AY17" s="110"/>
      <c r="AZ17" s="110"/>
      <c r="BA17" s="110"/>
      <c r="BB17" s="110"/>
      <c r="BC17" s="110"/>
      <c r="BD17" s="110"/>
      <c r="BE17" s="111"/>
      <c r="BF17" s="109"/>
      <c r="BG17" s="110"/>
      <c r="BH17" s="110"/>
      <c r="BI17" s="110"/>
      <c r="BJ17" s="110"/>
      <c r="BK17" s="110"/>
      <c r="BL17" s="110"/>
      <c r="BM17" s="110"/>
      <c r="BN17" s="111"/>
      <c r="BO17" s="109"/>
      <c r="BP17" s="110"/>
      <c r="BQ17" s="110"/>
      <c r="BR17" s="110"/>
      <c r="BS17" s="110"/>
      <c r="BT17" s="110"/>
      <c r="BU17" s="110"/>
      <c r="BV17" s="110"/>
      <c r="BW17" s="111"/>
    </row>
    <row r="18" spans="2:75" ht="19.5" customHeight="1" thickBot="1" x14ac:dyDescent="0.3">
      <c r="B18" s="26" t="s">
        <v>17</v>
      </c>
      <c r="C18" s="28">
        <f>SUM($C$4,$C$6,$C$8,$C$10,$C$12,$C$14,$C$16)</f>
        <v>26</v>
      </c>
      <c r="D18" s="112"/>
      <c r="E18" s="113"/>
      <c r="F18" s="113"/>
      <c r="G18" s="113"/>
      <c r="H18" s="113"/>
      <c r="I18" s="113"/>
      <c r="J18" s="113"/>
      <c r="K18" s="113"/>
      <c r="L18" s="114"/>
      <c r="M18" s="112"/>
      <c r="N18" s="113"/>
      <c r="O18" s="113"/>
      <c r="P18" s="113"/>
      <c r="Q18" s="113"/>
      <c r="R18" s="113"/>
      <c r="S18" s="113"/>
      <c r="T18" s="113"/>
      <c r="U18" s="114"/>
      <c r="V18" s="112"/>
      <c r="W18" s="113"/>
      <c r="X18" s="113"/>
      <c r="Y18" s="113"/>
      <c r="Z18" s="113"/>
      <c r="AA18" s="113"/>
      <c r="AB18" s="113"/>
      <c r="AC18" s="113"/>
      <c r="AD18" s="114"/>
      <c r="AE18" s="112"/>
      <c r="AF18" s="113"/>
      <c r="AG18" s="113"/>
      <c r="AH18" s="113"/>
      <c r="AI18" s="113"/>
      <c r="AJ18" s="113"/>
      <c r="AK18" s="113"/>
      <c r="AL18" s="113"/>
      <c r="AM18" s="114"/>
      <c r="AN18" s="112"/>
      <c r="AO18" s="113"/>
      <c r="AP18" s="113"/>
      <c r="AQ18" s="113"/>
      <c r="AR18" s="113"/>
      <c r="AS18" s="113"/>
      <c r="AT18" s="113"/>
      <c r="AU18" s="113"/>
      <c r="AV18" s="114"/>
      <c r="AW18" s="112"/>
      <c r="AX18" s="113"/>
      <c r="AY18" s="113"/>
      <c r="AZ18" s="113"/>
      <c r="BA18" s="113"/>
      <c r="BB18" s="113"/>
      <c r="BC18" s="113"/>
      <c r="BD18" s="113"/>
      <c r="BE18" s="114"/>
      <c r="BF18" s="112"/>
      <c r="BG18" s="113"/>
      <c r="BH18" s="113"/>
      <c r="BI18" s="113"/>
      <c r="BJ18" s="113"/>
      <c r="BK18" s="113"/>
      <c r="BL18" s="113"/>
      <c r="BM18" s="113"/>
      <c r="BN18" s="114"/>
      <c r="BO18" s="112"/>
      <c r="BP18" s="113"/>
      <c r="BQ18" s="113"/>
      <c r="BR18" s="113"/>
      <c r="BS18" s="113"/>
      <c r="BT18" s="113"/>
      <c r="BU18" s="113"/>
      <c r="BV18" s="113"/>
      <c r="BW18" s="114"/>
    </row>
  </sheetData>
  <sheetProtection sheet="1" objects="1" scenarios="1" insertRows="0" selectLockedCells="1"/>
  <mergeCells count="15">
    <mergeCell ref="AW2:BE2"/>
    <mergeCell ref="BF2:BN2"/>
    <mergeCell ref="BO2:BW2"/>
    <mergeCell ref="B15:B16"/>
    <mergeCell ref="D2:L2"/>
    <mergeCell ref="M2:U2"/>
    <mergeCell ref="V2:AD2"/>
    <mergeCell ref="AE2:AM2"/>
    <mergeCell ref="AN2:AV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58450937-3C60-42A4-A7C6-9506A0F933E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0" t="s">
        <v>21</v>
      </c>
      <c r="C3" s="16">
        <v>0</v>
      </c>
    </row>
    <row r="4" spans="1:4" ht="19.5" customHeight="1" x14ac:dyDescent="0.25">
      <c r="A4" s="19"/>
      <c r="B4" s="13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C970C-9D32-4101-97C5-1C1199BCF947}">
  <sheetPr codeName="Feuil9"/>
  <dimension ref="A1:I153"/>
  <sheetViews>
    <sheetView tabSelected="1" topLeftCell="A82" workbookViewId="0">
      <selection activeCell="C108" sqref="C10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0" t="s">
        <v>41</v>
      </c>
      <c r="D3" s="120" t="s">
        <v>56</v>
      </c>
    </row>
    <row r="4" spans="1:4" s="53" customFormat="1" x14ac:dyDescent="0.25">
      <c r="A4" s="1" t="s">
        <v>27</v>
      </c>
      <c r="B4" s="2">
        <v>2</v>
      </c>
      <c r="C4" s="91" t="s">
        <v>37</v>
      </c>
      <c r="D4" s="10"/>
    </row>
    <row r="5" spans="1:4" s="53" customFormat="1" x14ac:dyDescent="0.25">
      <c r="A5" s="1" t="s">
        <v>36</v>
      </c>
      <c r="B5" s="2">
        <v>4</v>
      </c>
      <c r="C5" s="91" t="s">
        <v>57</v>
      </c>
      <c r="D5" s="121" t="s">
        <v>58</v>
      </c>
    </row>
    <row r="6" spans="1:4" s="53" customFormat="1" x14ac:dyDescent="0.25">
      <c r="A6" s="1"/>
      <c r="B6" s="2"/>
      <c r="C6" s="91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1</v>
      </c>
      <c r="C22" s="90" t="s">
        <v>33</v>
      </c>
      <c r="D22" s="9"/>
    </row>
    <row r="23" spans="1:9" ht="27" x14ac:dyDescent="0.25">
      <c r="A23" s="1" t="s">
        <v>27</v>
      </c>
      <c r="B23" s="2">
        <v>1</v>
      </c>
      <c r="C23" s="91" t="s">
        <v>34</v>
      </c>
      <c r="D23" s="122"/>
    </row>
    <row r="24" spans="1:9" x14ac:dyDescent="0.25">
      <c r="A24" s="1" t="s">
        <v>36</v>
      </c>
      <c r="B24" s="2">
        <v>2</v>
      </c>
      <c r="C24" s="91" t="s">
        <v>38</v>
      </c>
      <c r="D24" s="121" t="s">
        <v>58</v>
      </c>
      <c r="E24" s="20"/>
      <c r="F24" s="20"/>
      <c r="G24" s="20"/>
      <c r="H24" s="20"/>
      <c r="I24" s="20"/>
    </row>
    <row r="25" spans="1:9" ht="12.75" customHeight="1" x14ac:dyDescent="0.25">
      <c r="A25" s="1" t="s">
        <v>35</v>
      </c>
      <c r="B25" s="2">
        <v>2</v>
      </c>
      <c r="C25" s="91" t="s">
        <v>40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26</v>
      </c>
      <c r="B26" s="2">
        <v>3</v>
      </c>
      <c r="C26" s="91" t="s">
        <v>45</v>
      </c>
      <c r="D26" s="122" t="s">
        <v>59</v>
      </c>
      <c r="E26" s="20"/>
      <c r="F26" s="35"/>
      <c r="G26" s="31"/>
      <c r="H26" s="31"/>
      <c r="I26" s="20"/>
    </row>
    <row r="27" spans="1:9" x14ac:dyDescent="0.25">
      <c r="A27" s="92"/>
      <c r="B27" s="2"/>
      <c r="C27" s="91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27</v>
      </c>
      <c r="B41" s="4">
        <v>1</v>
      </c>
      <c r="C41" s="90" t="s">
        <v>42</v>
      </c>
      <c r="D41" s="9"/>
    </row>
    <row r="42" spans="1:9" x14ac:dyDescent="0.25">
      <c r="A42" s="1" t="s">
        <v>35</v>
      </c>
      <c r="B42" s="2">
        <v>5</v>
      </c>
      <c r="C42" s="91" t="s">
        <v>44</v>
      </c>
      <c r="D42" s="10"/>
    </row>
    <row r="43" spans="1:9" x14ac:dyDescent="0.25">
      <c r="A43" s="1" t="s">
        <v>28</v>
      </c>
      <c r="B43" s="2">
        <v>1</v>
      </c>
      <c r="C43" s="91" t="s">
        <v>43</v>
      </c>
      <c r="D43" s="10"/>
    </row>
    <row r="44" spans="1:9" x14ac:dyDescent="0.25">
      <c r="A44" s="1" t="s">
        <v>26</v>
      </c>
      <c r="B44" s="2">
        <v>2</v>
      </c>
      <c r="C44" s="91" t="s">
        <v>55</v>
      </c>
      <c r="D44" s="122" t="s">
        <v>59</v>
      </c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5</v>
      </c>
      <c r="C60" s="90" t="s">
        <v>54</v>
      </c>
      <c r="D60" s="9"/>
    </row>
    <row r="61" spans="1:4" x14ac:dyDescent="0.25">
      <c r="A61" s="1" t="s">
        <v>26</v>
      </c>
      <c r="B61" s="2">
        <v>2</v>
      </c>
      <c r="C61" s="91" t="s">
        <v>64</v>
      </c>
      <c r="D61" s="122" t="s">
        <v>59</v>
      </c>
    </row>
    <row r="62" spans="1:4" x14ac:dyDescent="0.25">
      <c r="A62" s="1" t="s">
        <v>36</v>
      </c>
      <c r="B62" s="2">
        <v>2</v>
      </c>
      <c r="C62" s="91" t="s">
        <v>60</v>
      </c>
      <c r="D62" s="121" t="s">
        <v>58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45558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27</v>
      </c>
      <c r="B79" s="4">
        <v>1</v>
      </c>
      <c r="C79" s="90" t="s">
        <v>42</v>
      </c>
      <c r="D79" s="10"/>
    </row>
    <row r="80" spans="1:4" x14ac:dyDescent="0.25">
      <c r="A80" s="1" t="s">
        <v>35</v>
      </c>
      <c r="B80" s="2">
        <v>2</v>
      </c>
      <c r="C80" s="91" t="s">
        <v>62</v>
      </c>
    </row>
    <row r="81" spans="1:4" ht="27" x14ac:dyDescent="0.25">
      <c r="A81" s="1" t="s">
        <v>39</v>
      </c>
      <c r="B81" s="2">
        <v>3</v>
      </c>
      <c r="C81" s="91" t="s">
        <v>61</v>
      </c>
      <c r="D81" s="10"/>
    </row>
    <row r="82" spans="1:4" x14ac:dyDescent="0.25">
      <c r="A82" s="1" t="s">
        <v>26</v>
      </c>
      <c r="B82" s="2">
        <v>3</v>
      </c>
      <c r="C82" s="91" t="s">
        <v>63</v>
      </c>
      <c r="D82" s="122" t="s">
        <v>59</v>
      </c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27</v>
      </c>
      <c r="B98" s="4">
        <v>1</v>
      </c>
      <c r="C98" s="90" t="s">
        <v>42</v>
      </c>
      <c r="D98" s="9"/>
    </row>
    <row r="99" spans="1:4" x14ac:dyDescent="0.25">
      <c r="A99" s="1" t="s">
        <v>36</v>
      </c>
      <c r="B99" s="2">
        <v>2</v>
      </c>
      <c r="C99" s="91" t="s">
        <v>65</v>
      </c>
      <c r="D99" s="121" t="s">
        <v>58</v>
      </c>
    </row>
    <row r="100" spans="1:4" x14ac:dyDescent="0.25">
      <c r="A100" s="1" t="s">
        <v>35</v>
      </c>
      <c r="B100" s="2">
        <v>4</v>
      </c>
      <c r="C100" s="91" t="s">
        <v>67</v>
      </c>
      <c r="D100" s="10"/>
    </row>
    <row r="101" spans="1:4" x14ac:dyDescent="0.25">
      <c r="A101" s="1" t="s">
        <v>26</v>
      </c>
      <c r="B101" s="134">
        <v>2</v>
      </c>
      <c r="C101" s="91" t="s">
        <v>66</v>
      </c>
      <c r="D101" s="122" t="s">
        <v>59</v>
      </c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45593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D16B0E-3CAA-41A5-84F2-B16B5755469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36:B150 B117:B131 B79:B93 B98:B100 B102:B112" xr:uid="{959BE36A-D1D0-47A9-83C6-2EB89ED99E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E4CEE60-8D61-4729-80EC-4420D787473B}">
      <formula1>0</formula1>
      <formula2>NbPerWeek * NbQuartPer</formula2>
    </dataValidation>
    <dataValidation type="list" allowBlank="1" showInputMessage="1" showErrorMessage="1" sqref="A3:A17 A22:A36 A41:A55 A60:A74 A136:A150 A98:A112 A117:A131 A79:A93" xr:uid="{B1F472B7-AFD4-407E-8DA1-2B13D515CDE5}">
      <formula1>lstTasks</formula1>
    </dataValidation>
  </dataValidations>
  <hyperlinks>
    <hyperlink ref="D3" r:id="rId1" xr:uid="{E65A978A-3A5D-4D35-8709-89BD3C195B07}"/>
    <hyperlink ref="D5" r:id="rId2" location="/backlog/sandbox" display="https://etml.icescrum.com/p/PDB106AM/ - /backlog/sandbox" xr:uid="{2DECB704-6FEE-4869-A5F3-D34721A80C2C}"/>
    <hyperlink ref="D24" r:id="rId3" location="/backlog/sandbox" display="https://etml.icescrum.com/p/PDB106AM/ - /backlog/sandbox" xr:uid="{55B69136-F6D5-42D3-89A6-729423C74AB8}"/>
    <hyperlink ref="D26" r:id="rId4" xr:uid="{FDF6180B-FC0A-43E2-ACA1-82D28BF6D24B}"/>
    <hyperlink ref="D44" r:id="rId5" xr:uid="{346DA546-8458-4F57-9013-095470AFFFAC}"/>
    <hyperlink ref="D61" r:id="rId6" xr:uid="{E5391E4B-1565-4EE2-B0A4-62FCE1E32F1D}"/>
    <hyperlink ref="D62" r:id="rId7" location="/planning" display="https://etml.icescrum.com/p/PDB106AM/ - /planning" xr:uid="{995AD417-707C-4E97-AFB7-5374568F51EF}"/>
    <hyperlink ref="D82" r:id="rId8" xr:uid="{8B224BE0-B733-4B4B-9AD0-76C136EB143B}"/>
    <hyperlink ref="D101" r:id="rId9" xr:uid="{6CBBEE6C-9120-4042-B0C4-E83C88C08A4D}"/>
    <hyperlink ref="D99" r:id="rId10" location="/backlog/backlog" display="https://etml.icescrum.com/p/PDB106AM/ - /backlog/backlog" xr:uid="{0957318B-9C66-4DC9-A5A9-20D37E962E1F}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41985" r:id="rId14" name="btnImportRealisation">
          <controlPr defaultSize="0" autoLine="0" r:id="rId1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1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2024-09-30T12:11:08Z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